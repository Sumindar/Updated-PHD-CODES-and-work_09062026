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semble" sheetId="1" r:id="rId5"/>
  </sheets>
  <definedNames>
    <definedName hidden="1" localSheetId="0" name="_xlnm._FilterDatabase">Ensemble!$A$3:$F$53</definedName>
  </definedNames>
  <calcPr/>
</workbook>
</file>

<file path=xl/sharedStrings.xml><?xml version="1.0" encoding="utf-8"?>
<sst xmlns="http://schemas.openxmlformats.org/spreadsheetml/2006/main" count="23" uniqueCount="23">
  <si>
    <t>Epoch</t>
  </si>
  <si>
    <t>Training Loss</t>
  </si>
  <si>
    <t>Validation Loss</t>
  </si>
  <si>
    <t>Training Accuracy</t>
  </si>
  <si>
    <t>Validation Accuracy</t>
  </si>
  <si>
    <t>Overfitting</t>
  </si>
  <si>
    <t>Ratinal for Epoch Selection</t>
  </si>
  <si>
    <t>Epoch 9 is the best choice because it achieves 99.66% validation accuracy with only 0.04% overfitting, showing excellent generalization.</t>
  </si>
  <si>
    <t>It also has the lowest validation loss among the epochs achieving 99.66% validation accuracy: 0.0328, indicating strong predictive confidence.</t>
  </si>
  <si>
    <t>Compared with Epoch 13, which has the same 99.66% validation accuracy and 0.04% overfitting, Epoch 9 has a substantially lower validation loss (0.0328 vs. 0.0384).</t>
  </si>
  <si>
    <t>Epoch 3 is also strong, with the lowest validation loss (0.0195), but its validation accuracy is slightly lower (99.49% vs. 99.66%), so Epoch 9 provides the better overall balance of accuracy, loss, and generalization.</t>
  </si>
  <si>
    <t>Performance on testing Data</t>
  </si>
  <si>
    <t>TP</t>
  </si>
  <si>
    <t>FP</t>
  </si>
  <si>
    <t>TN</t>
  </si>
  <si>
    <t>FN</t>
  </si>
  <si>
    <t>Total</t>
  </si>
  <si>
    <t>Accuracy</t>
  </si>
  <si>
    <t>Sensitivity</t>
  </si>
  <si>
    <t>Specificity</t>
  </si>
  <si>
    <t>Precision</t>
  </si>
  <si>
    <t>F1-Score</t>
  </si>
  <si>
    <t>Accuracy StdDev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</si>
</sst>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2" fontId="2" numFmtId="10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16.8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H3" s="3" t="s">
        <v>6</v>
      </c>
    </row>
    <row r="4">
      <c r="A4" s="4">
        <v>13.0</v>
      </c>
      <c r="B4" s="4">
        <v>0.0113</v>
      </c>
      <c r="C4" s="4">
        <v>0.0384</v>
      </c>
      <c r="D4" s="4">
        <v>0.997</v>
      </c>
      <c r="E4" s="4">
        <v>0.9966</v>
      </c>
      <c r="F4" s="5">
        <f t="shared" ref="F4:F53" si="1">ABS(E4-D4)/D4</f>
        <v>0.0004012036108</v>
      </c>
      <c r="H4" s="6" t="s">
        <v>7</v>
      </c>
    </row>
    <row r="5">
      <c r="A5" s="7">
        <v>9.0</v>
      </c>
      <c r="B5" s="7">
        <v>0.0085</v>
      </c>
      <c r="C5" s="7">
        <v>0.0328</v>
      </c>
      <c r="D5" s="7">
        <v>0.9962</v>
      </c>
      <c r="E5" s="7">
        <v>0.9966</v>
      </c>
      <c r="F5" s="8">
        <f t="shared" si="1"/>
        <v>0.000401525798</v>
      </c>
      <c r="H5" s="6" t="s">
        <v>8</v>
      </c>
    </row>
    <row r="6">
      <c r="A6" s="4">
        <v>15.0</v>
      </c>
      <c r="B6" s="4">
        <v>0.0154</v>
      </c>
      <c r="C6" s="4">
        <v>0.0374</v>
      </c>
      <c r="D6" s="4">
        <v>0.9953</v>
      </c>
      <c r="E6" s="4">
        <v>0.9949</v>
      </c>
      <c r="F6" s="5">
        <f t="shared" si="1"/>
        <v>0.0004018888777</v>
      </c>
      <c r="H6" s="6" t="s">
        <v>9</v>
      </c>
    </row>
    <row r="7">
      <c r="A7" s="4">
        <v>21.0</v>
      </c>
      <c r="B7" s="4">
        <v>0.0111</v>
      </c>
      <c r="C7" s="4">
        <v>0.0391</v>
      </c>
      <c r="D7" s="4">
        <v>0.9953</v>
      </c>
      <c r="E7" s="4">
        <v>0.9949</v>
      </c>
      <c r="F7" s="5">
        <f t="shared" si="1"/>
        <v>0.0004018888777</v>
      </c>
      <c r="H7" s="6" t="s">
        <v>10</v>
      </c>
    </row>
    <row r="8">
      <c r="A8" s="4">
        <v>34.0</v>
      </c>
      <c r="B8" s="4">
        <v>0.0085</v>
      </c>
      <c r="C8" s="4">
        <v>0.0388</v>
      </c>
      <c r="D8" s="4">
        <v>0.9953</v>
      </c>
      <c r="E8" s="4">
        <v>0.9949</v>
      </c>
      <c r="F8" s="5">
        <f t="shared" si="1"/>
        <v>0.0004018888777</v>
      </c>
    </row>
    <row r="9">
      <c r="A9" s="4">
        <v>3.0</v>
      </c>
      <c r="B9" s="4">
        <v>0.0208</v>
      </c>
      <c r="C9" s="4">
        <v>0.0195</v>
      </c>
      <c r="D9" s="4">
        <v>0.9941</v>
      </c>
      <c r="E9" s="4">
        <v>0.9949</v>
      </c>
      <c r="F9" s="5">
        <f t="shared" si="1"/>
        <v>0.0008047480133</v>
      </c>
      <c r="H9" s="3" t="s">
        <v>11</v>
      </c>
    </row>
    <row r="10">
      <c r="A10" s="4">
        <v>10.0</v>
      </c>
      <c r="B10" s="4">
        <v>0.0073</v>
      </c>
      <c r="C10" s="4">
        <v>0.0339</v>
      </c>
      <c r="D10" s="4">
        <v>0.9975</v>
      </c>
      <c r="E10" s="4">
        <v>0.9966</v>
      </c>
      <c r="F10" s="5">
        <f t="shared" si="1"/>
        <v>0.0009022556391</v>
      </c>
      <c r="H10" s="6" t="s">
        <v>12</v>
      </c>
      <c r="I10" s="6" t="s">
        <v>13</v>
      </c>
      <c r="J10" s="6" t="s">
        <v>14</v>
      </c>
      <c r="K10" s="6" t="s">
        <v>15</v>
      </c>
      <c r="L10" s="6" t="s">
        <v>16</v>
      </c>
      <c r="M10" s="6" t="s">
        <v>17</v>
      </c>
      <c r="N10" s="6" t="s">
        <v>18</v>
      </c>
      <c r="O10" s="6" t="s">
        <v>19</v>
      </c>
      <c r="P10" s="6" t="s">
        <v>20</v>
      </c>
      <c r="Q10" s="6" t="s">
        <v>21</v>
      </c>
      <c r="R10" s="6" t="s">
        <v>22</v>
      </c>
    </row>
    <row r="11">
      <c r="A11" s="4">
        <v>4.0</v>
      </c>
      <c r="B11" s="4">
        <v>0.0104</v>
      </c>
      <c r="C11" s="4">
        <v>0.03</v>
      </c>
      <c r="D11" s="4">
        <v>0.9958</v>
      </c>
      <c r="E11" s="4">
        <v>0.9949</v>
      </c>
      <c r="F11" s="5">
        <f t="shared" si="1"/>
        <v>0.000903795943</v>
      </c>
      <c r="H11" s="6">
        <v>162.0</v>
      </c>
      <c r="I11" s="6">
        <v>2.0</v>
      </c>
      <c r="J11" s="6">
        <v>162.0</v>
      </c>
      <c r="K11" s="6">
        <v>2.0</v>
      </c>
      <c r="L11" s="6">
        <v>328.0</v>
      </c>
      <c r="M11" s="6">
        <v>0.9878</v>
      </c>
      <c r="N11" s="6">
        <v>0.9878</v>
      </c>
      <c r="O11" s="6">
        <v>0.9878</v>
      </c>
      <c r="P11" s="6">
        <v>0.9878</v>
      </c>
      <c r="Q11" s="6">
        <v>0.9878</v>
      </c>
      <c r="R11" s="6">
        <v>0.1098</v>
      </c>
    </row>
    <row r="12">
      <c r="A12" s="4">
        <v>14.0</v>
      </c>
      <c r="B12" s="4">
        <v>0.0128</v>
      </c>
      <c r="C12" s="4">
        <v>0.0235</v>
      </c>
      <c r="D12" s="4">
        <v>0.9958</v>
      </c>
      <c r="E12" s="4">
        <v>0.9949</v>
      </c>
      <c r="F12" s="5">
        <f t="shared" si="1"/>
        <v>0.000903795943</v>
      </c>
    </row>
    <row r="13">
      <c r="A13" s="4">
        <v>5.0</v>
      </c>
      <c r="B13" s="4">
        <v>0.0204</v>
      </c>
      <c r="C13" s="4">
        <v>0.023</v>
      </c>
      <c r="D13" s="4">
        <v>0.9941</v>
      </c>
      <c r="E13" s="4">
        <v>0.9932</v>
      </c>
      <c r="F13" s="5">
        <f t="shared" si="1"/>
        <v>0.0009053415149</v>
      </c>
    </row>
    <row r="14">
      <c r="A14" s="4">
        <v>20.0</v>
      </c>
      <c r="B14" s="4">
        <v>0.0109</v>
      </c>
      <c r="C14" s="4">
        <v>0.0596</v>
      </c>
      <c r="D14" s="4">
        <v>0.9945</v>
      </c>
      <c r="E14" s="4">
        <v>0.9932</v>
      </c>
      <c r="F14" s="5">
        <f t="shared" si="1"/>
        <v>0.001307189542</v>
      </c>
    </row>
    <row r="15">
      <c r="A15" s="4">
        <v>18.0</v>
      </c>
      <c r="B15" s="4">
        <v>0.0062</v>
      </c>
      <c r="C15" s="4">
        <v>0.0438</v>
      </c>
      <c r="D15" s="4">
        <v>0.9983</v>
      </c>
      <c r="E15" s="4">
        <v>0.9966</v>
      </c>
      <c r="F15" s="5">
        <f t="shared" si="1"/>
        <v>0.001702894921</v>
      </c>
    </row>
    <row r="16">
      <c r="A16" s="4">
        <v>39.0</v>
      </c>
      <c r="B16" s="4">
        <v>0.0075</v>
      </c>
      <c r="C16" s="4">
        <v>0.043</v>
      </c>
      <c r="D16" s="4">
        <v>0.9966</v>
      </c>
      <c r="E16" s="4">
        <v>0.9949</v>
      </c>
      <c r="F16" s="5">
        <f t="shared" si="1"/>
        <v>0.001705799719</v>
      </c>
    </row>
    <row r="17">
      <c r="A17" s="4">
        <v>7.0</v>
      </c>
      <c r="B17" s="4">
        <v>0.0176</v>
      </c>
      <c r="C17" s="4">
        <v>0.0231</v>
      </c>
      <c r="D17" s="4">
        <v>0.9949</v>
      </c>
      <c r="E17" s="4">
        <v>0.9966</v>
      </c>
      <c r="F17" s="5">
        <f t="shared" si="1"/>
        <v>0.001708714444</v>
      </c>
    </row>
    <row r="18">
      <c r="A18" s="4">
        <v>26.0</v>
      </c>
      <c r="B18" s="4">
        <v>0.0092</v>
      </c>
      <c r="C18" s="4">
        <v>0.04</v>
      </c>
      <c r="D18" s="4">
        <v>0.997</v>
      </c>
      <c r="E18" s="4">
        <v>0.9949</v>
      </c>
      <c r="F18" s="5">
        <f t="shared" si="1"/>
        <v>0.002106318957</v>
      </c>
    </row>
    <row r="19">
      <c r="A19" s="4">
        <v>32.0</v>
      </c>
      <c r="B19" s="4">
        <v>0.0054</v>
      </c>
      <c r="C19" s="4">
        <v>0.1921</v>
      </c>
      <c r="D19" s="4">
        <v>0.997</v>
      </c>
      <c r="E19" s="4">
        <v>0.9949</v>
      </c>
      <c r="F19" s="5">
        <f t="shared" si="1"/>
        <v>0.002106318957</v>
      </c>
    </row>
    <row r="20">
      <c r="A20" s="4">
        <v>22.0</v>
      </c>
      <c r="B20" s="4">
        <v>0.0106</v>
      </c>
      <c r="C20" s="4">
        <v>0.0412</v>
      </c>
      <c r="D20" s="4">
        <v>0.9953</v>
      </c>
      <c r="E20" s="4">
        <v>0.9932</v>
      </c>
      <c r="F20" s="5">
        <f t="shared" si="1"/>
        <v>0.002109916608</v>
      </c>
    </row>
    <row r="21">
      <c r="A21" s="4">
        <v>6.0</v>
      </c>
      <c r="B21" s="4">
        <v>0.0155</v>
      </c>
      <c r="C21" s="4">
        <v>0.0253</v>
      </c>
      <c r="D21" s="4">
        <v>0.9945</v>
      </c>
      <c r="E21" s="4">
        <v>0.9966</v>
      </c>
      <c r="F21" s="5">
        <f t="shared" si="1"/>
        <v>0.002111613876</v>
      </c>
    </row>
    <row r="22">
      <c r="A22" s="4">
        <v>8.0</v>
      </c>
      <c r="B22" s="4">
        <v>0.0126</v>
      </c>
      <c r="C22" s="4">
        <v>0.0325</v>
      </c>
      <c r="D22" s="4">
        <v>0.9945</v>
      </c>
      <c r="E22" s="4">
        <v>0.9966</v>
      </c>
      <c r="F22" s="5">
        <f t="shared" si="1"/>
        <v>0.002111613876</v>
      </c>
    </row>
    <row r="23">
      <c r="A23" s="4">
        <v>24.0</v>
      </c>
      <c r="B23" s="4">
        <v>0.0061</v>
      </c>
      <c r="C23" s="4">
        <v>0.0441</v>
      </c>
      <c r="D23" s="4">
        <v>0.9975</v>
      </c>
      <c r="E23" s="4">
        <v>0.9949</v>
      </c>
      <c r="F23" s="5">
        <f t="shared" si="1"/>
        <v>0.002606516291</v>
      </c>
    </row>
    <row r="24">
      <c r="A24" s="4">
        <v>17.0</v>
      </c>
      <c r="B24" s="4">
        <v>0.0055</v>
      </c>
      <c r="C24" s="4">
        <v>0.0468</v>
      </c>
      <c r="D24" s="4">
        <v>0.9979</v>
      </c>
      <c r="E24" s="4">
        <v>0.9949</v>
      </c>
      <c r="F24" s="5">
        <f t="shared" si="1"/>
        <v>0.003006313258</v>
      </c>
    </row>
    <row r="25">
      <c r="A25" s="4">
        <v>19.0</v>
      </c>
      <c r="B25" s="4">
        <v>0.011</v>
      </c>
      <c r="C25" s="4">
        <v>0.0351</v>
      </c>
      <c r="D25" s="4">
        <v>0.9979</v>
      </c>
      <c r="E25" s="4">
        <v>0.9949</v>
      </c>
      <c r="F25" s="5">
        <f t="shared" si="1"/>
        <v>0.003006313258</v>
      </c>
    </row>
    <row r="26">
      <c r="A26" s="4">
        <v>35.0</v>
      </c>
      <c r="B26" s="4">
        <v>0.0069</v>
      </c>
      <c r="C26" s="4">
        <v>0.037</v>
      </c>
      <c r="D26" s="4">
        <v>0.9979</v>
      </c>
      <c r="E26" s="4">
        <v>0.9949</v>
      </c>
      <c r="F26" s="5">
        <f t="shared" si="1"/>
        <v>0.003006313258</v>
      </c>
    </row>
    <row r="27">
      <c r="A27" s="4">
        <v>41.0</v>
      </c>
      <c r="B27" s="4">
        <v>0.003</v>
      </c>
      <c r="C27" s="4">
        <v>0.0515</v>
      </c>
      <c r="D27" s="4">
        <v>0.9979</v>
      </c>
      <c r="E27" s="4">
        <v>0.9949</v>
      </c>
      <c r="F27" s="5">
        <f t="shared" si="1"/>
        <v>0.003006313258</v>
      </c>
    </row>
    <row r="28">
      <c r="A28" s="4">
        <v>40.0</v>
      </c>
      <c r="B28" s="4">
        <v>0.0084</v>
      </c>
      <c r="C28" s="4">
        <v>0.051</v>
      </c>
      <c r="D28" s="4">
        <v>0.9962</v>
      </c>
      <c r="E28" s="4">
        <v>0.9932</v>
      </c>
      <c r="F28" s="5">
        <f t="shared" si="1"/>
        <v>0.003011443485</v>
      </c>
    </row>
    <row r="29">
      <c r="A29" s="4">
        <v>2.0</v>
      </c>
      <c r="B29" s="4">
        <v>0.0198</v>
      </c>
      <c r="C29" s="4">
        <v>0.0272</v>
      </c>
      <c r="D29" s="4">
        <v>0.9945</v>
      </c>
      <c r="E29" s="4">
        <v>0.9915</v>
      </c>
      <c r="F29" s="5">
        <f t="shared" si="1"/>
        <v>0.003016591252</v>
      </c>
    </row>
    <row r="30">
      <c r="A30" s="4">
        <v>42.0</v>
      </c>
      <c r="B30" s="4">
        <v>0.003</v>
      </c>
      <c r="C30" s="4">
        <v>0.1929</v>
      </c>
      <c r="D30" s="4">
        <v>0.9983</v>
      </c>
      <c r="E30" s="4">
        <v>0.9949</v>
      </c>
      <c r="F30" s="5">
        <f t="shared" si="1"/>
        <v>0.003405789843</v>
      </c>
    </row>
    <row r="31">
      <c r="A31" s="4">
        <v>44.0</v>
      </c>
      <c r="B31" s="4">
        <v>0.0074</v>
      </c>
      <c r="C31" s="4">
        <v>0.0497</v>
      </c>
      <c r="D31" s="4">
        <v>0.9983</v>
      </c>
      <c r="E31" s="4">
        <v>0.9949</v>
      </c>
      <c r="F31" s="5">
        <f t="shared" si="1"/>
        <v>0.003405789843</v>
      </c>
    </row>
    <row r="32">
      <c r="A32" s="4">
        <v>12.0</v>
      </c>
      <c r="B32" s="4">
        <v>0.0155</v>
      </c>
      <c r="C32" s="4">
        <v>0.0248</v>
      </c>
      <c r="D32" s="4">
        <v>0.9949</v>
      </c>
      <c r="E32" s="4">
        <v>0.9915</v>
      </c>
      <c r="F32" s="5">
        <f t="shared" si="1"/>
        <v>0.003417428887</v>
      </c>
    </row>
    <row r="33">
      <c r="A33" s="4">
        <v>49.0</v>
      </c>
      <c r="B33" s="4">
        <v>0.0033</v>
      </c>
      <c r="C33" s="4">
        <v>0.3428</v>
      </c>
      <c r="D33" s="4">
        <v>0.9987</v>
      </c>
      <c r="E33" s="4">
        <v>0.9949</v>
      </c>
      <c r="F33" s="5">
        <f t="shared" si="1"/>
        <v>0.00380494643</v>
      </c>
    </row>
    <row r="34">
      <c r="A34" s="4">
        <v>16.0</v>
      </c>
      <c r="B34" s="4">
        <v>0.0085</v>
      </c>
      <c r="C34" s="4">
        <v>0.045</v>
      </c>
      <c r="D34" s="4">
        <v>0.997</v>
      </c>
      <c r="E34" s="4">
        <v>0.9932</v>
      </c>
      <c r="F34" s="5">
        <f t="shared" si="1"/>
        <v>0.003811434303</v>
      </c>
    </row>
    <row r="35">
      <c r="A35" s="4">
        <v>33.0</v>
      </c>
      <c r="B35" s="4">
        <v>0.0185</v>
      </c>
      <c r="C35" s="4">
        <v>0.0301</v>
      </c>
      <c r="D35" s="4">
        <v>0.9953</v>
      </c>
      <c r="E35" s="4">
        <v>0.9915</v>
      </c>
      <c r="F35" s="5">
        <f t="shared" si="1"/>
        <v>0.003817944338</v>
      </c>
    </row>
    <row r="36">
      <c r="A36" s="4">
        <v>46.0</v>
      </c>
      <c r="B36" s="4">
        <v>0.0038</v>
      </c>
      <c r="C36" s="4">
        <v>0.1962</v>
      </c>
      <c r="D36" s="4">
        <v>0.9992</v>
      </c>
      <c r="E36" s="4">
        <v>0.9949</v>
      </c>
      <c r="F36" s="5">
        <f t="shared" si="1"/>
        <v>0.004303442754</v>
      </c>
    </row>
    <row r="37">
      <c r="A37" s="4">
        <v>48.0</v>
      </c>
      <c r="B37" s="4">
        <v>0.0032</v>
      </c>
      <c r="C37" s="4">
        <v>0.2033</v>
      </c>
      <c r="D37" s="4">
        <v>0.9992</v>
      </c>
      <c r="E37" s="4">
        <v>0.9949</v>
      </c>
      <c r="F37" s="5">
        <f t="shared" si="1"/>
        <v>0.004303442754</v>
      </c>
    </row>
    <row r="38">
      <c r="A38" s="4">
        <v>25.0</v>
      </c>
      <c r="B38" s="4">
        <v>0.0072</v>
      </c>
      <c r="C38" s="4">
        <v>0.046</v>
      </c>
      <c r="D38" s="4">
        <v>0.9979</v>
      </c>
      <c r="E38" s="4">
        <v>0.9932</v>
      </c>
      <c r="F38" s="5">
        <f t="shared" si="1"/>
        <v>0.004709890771</v>
      </c>
    </row>
    <row r="39">
      <c r="A39" s="4">
        <v>36.0</v>
      </c>
      <c r="B39" s="4">
        <v>0.0046</v>
      </c>
      <c r="C39" s="4">
        <v>0.1921</v>
      </c>
      <c r="D39" s="4">
        <v>0.9979</v>
      </c>
      <c r="E39" s="4">
        <v>0.9932</v>
      </c>
      <c r="F39" s="5">
        <f t="shared" si="1"/>
        <v>0.004709890771</v>
      </c>
    </row>
    <row r="40">
      <c r="A40" s="4">
        <v>38.0</v>
      </c>
      <c r="B40" s="4">
        <v>0.0042</v>
      </c>
      <c r="C40" s="4">
        <v>0.1941</v>
      </c>
      <c r="D40" s="4">
        <v>0.9979</v>
      </c>
      <c r="E40" s="4">
        <v>0.9932</v>
      </c>
      <c r="F40" s="5">
        <f t="shared" si="1"/>
        <v>0.004709890771</v>
      </c>
    </row>
    <row r="41">
      <c r="A41" s="4">
        <v>27.0</v>
      </c>
      <c r="B41" s="4">
        <v>0.0081</v>
      </c>
      <c r="C41" s="4">
        <v>0.0487</v>
      </c>
      <c r="D41" s="4">
        <v>0.9962</v>
      </c>
      <c r="E41" s="4">
        <v>0.9915</v>
      </c>
      <c r="F41" s="5">
        <f t="shared" si="1"/>
        <v>0.004717928127</v>
      </c>
    </row>
    <row r="42">
      <c r="A42" s="4">
        <v>47.0</v>
      </c>
      <c r="B42" s="4">
        <v>5.0E-4</v>
      </c>
      <c r="C42" s="4">
        <v>0.1996</v>
      </c>
      <c r="D42" s="4">
        <v>1.0</v>
      </c>
      <c r="E42" s="4">
        <v>0.9949</v>
      </c>
      <c r="F42" s="5">
        <f t="shared" si="1"/>
        <v>0.0051</v>
      </c>
    </row>
    <row r="43">
      <c r="A43" s="4">
        <v>30.0</v>
      </c>
      <c r="B43" s="4">
        <v>0.0052</v>
      </c>
      <c r="C43" s="4">
        <v>0.035</v>
      </c>
      <c r="D43" s="4">
        <v>0.9983</v>
      </c>
      <c r="E43" s="4">
        <v>0.9932</v>
      </c>
      <c r="F43" s="5">
        <f t="shared" si="1"/>
        <v>0.005108684764</v>
      </c>
    </row>
    <row r="44">
      <c r="A44" s="4">
        <v>50.0</v>
      </c>
      <c r="B44" s="4">
        <v>0.0031</v>
      </c>
      <c r="C44" s="4">
        <v>0.2007</v>
      </c>
      <c r="D44" s="4">
        <v>0.9983</v>
      </c>
      <c r="E44" s="4">
        <v>0.9932</v>
      </c>
      <c r="F44" s="5">
        <f t="shared" si="1"/>
        <v>0.005108684764</v>
      </c>
    </row>
    <row r="45">
      <c r="A45" s="4">
        <v>23.0</v>
      </c>
      <c r="B45" s="4">
        <v>0.0128</v>
      </c>
      <c r="C45" s="4">
        <v>0.0324</v>
      </c>
      <c r="D45" s="4">
        <v>0.9966</v>
      </c>
      <c r="E45" s="4">
        <v>0.9915</v>
      </c>
      <c r="F45" s="5">
        <f t="shared" si="1"/>
        <v>0.005117399157</v>
      </c>
    </row>
    <row r="46">
      <c r="A46" s="4">
        <v>37.0</v>
      </c>
      <c r="B46" s="4">
        <v>0.003</v>
      </c>
      <c r="C46" s="4">
        <v>0.1901</v>
      </c>
      <c r="D46" s="4">
        <v>0.9992</v>
      </c>
      <c r="E46" s="4">
        <v>0.9932</v>
      </c>
      <c r="F46" s="5">
        <f t="shared" si="1"/>
        <v>0.006004803843</v>
      </c>
    </row>
    <row r="47">
      <c r="A47" s="4">
        <v>43.0</v>
      </c>
      <c r="B47" s="4">
        <v>0.0026</v>
      </c>
      <c r="C47" s="4">
        <v>0.1943</v>
      </c>
      <c r="D47" s="4">
        <v>0.9992</v>
      </c>
      <c r="E47" s="4">
        <v>0.9932</v>
      </c>
      <c r="F47" s="5">
        <f t="shared" si="1"/>
        <v>0.006004803843</v>
      </c>
    </row>
    <row r="48">
      <c r="A48" s="4">
        <v>45.0</v>
      </c>
      <c r="B48" s="4">
        <v>0.006</v>
      </c>
      <c r="C48" s="4">
        <v>0.0476</v>
      </c>
      <c r="D48" s="4">
        <v>0.9975</v>
      </c>
      <c r="E48" s="4">
        <v>0.9915</v>
      </c>
      <c r="F48" s="5">
        <f t="shared" si="1"/>
        <v>0.006015037594</v>
      </c>
    </row>
    <row r="49">
      <c r="A49" s="4">
        <v>31.0</v>
      </c>
      <c r="B49" s="4">
        <v>0.0073</v>
      </c>
      <c r="C49" s="4">
        <v>0.0427</v>
      </c>
      <c r="D49" s="4">
        <v>0.9979</v>
      </c>
      <c r="E49" s="4">
        <v>0.9915</v>
      </c>
      <c r="F49" s="5">
        <f t="shared" si="1"/>
        <v>0.006413468283</v>
      </c>
    </row>
    <row r="50">
      <c r="A50" s="4">
        <v>28.0</v>
      </c>
      <c r="B50" s="4">
        <v>0.004</v>
      </c>
      <c r="C50" s="4">
        <v>0.0515</v>
      </c>
      <c r="D50" s="4">
        <v>0.9983</v>
      </c>
      <c r="E50" s="4">
        <v>0.9915</v>
      </c>
      <c r="F50" s="5">
        <f t="shared" si="1"/>
        <v>0.006811579685</v>
      </c>
    </row>
    <row r="51">
      <c r="A51" s="4">
        <v>11.0</v>
      </c>
      <c r="B51" s="4">
        <v>0.0031</v>
      </c>
      <c r="C51" s="4">
        <v>0.0374</v>
      </c>
      <c r="D51" s="4">
        <v>0.9992</v>
      </c>
      <c r="E51" s="4">
        <v>0.9915</v>
      </c>
      <c r="F51" s="5">
        <f t="shared" si="1"/>
        <v>0.007706164932</v>
      </c>
    </row>
    <row r="52">
      <c r="A52" s="4">
        <v>1.0</v>
      </c>
      <c r="B52" s="4">
        <v>0.0611</v>
      </c>
      <c r="C52" s="4">
        <v>0.0326</v>
      </c>
      <c r="D52" s="4">
        <v>0.9827</v>
      </c>
      <c r="E52" s="4">
        <v>0.9915</v>
      </c>
      <c r="F52" s="5">
        <f t="shared" si="1"/>
        <v>0.008954920118</v>
      </c>
    </row>
    <row r="53">
      <c r="A53" s="4">
        <v>29.0</v>
      </c>
      <c r="B53" s="4">
        <v>0.0045</v>
      </c>
      <c r="C53" s="4">
        <v>0.0465</v>
      </c>
      <c r="D53" s="4">
        <v>0.9992</v>
      </c>
      <c r="E53" s="4">
        <v>0.9898</v>
      </c>
      <c r="F53" s="5">
        <f t="shared" si="1"/>
        <v>0.009407526021</v>
      </c>
    </row>
  </sheetData>
  <autoFilter ref="$A$3:$F$53">
    <sortState ref="A3:F53">
      <sortCondition ref="F3:F53"/>
    </sortState>
  </autoFilter>
  <drawing r:id="rId1"/>
</worksheet>
</file>