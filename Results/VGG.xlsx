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gg" sheetId="1" r:id="rId5"/>
  </sheets>
  <definedNames>
    <definedName hidden="1" localSheetId="0" name="_xlnm._FilterDatabase">vgg!$A$2:$F$52</definedName>
  </definedNames>
  <calcPr/>
</workbook>
</file>

<file path=xl/sharedStrings.xml><?xml version="1.0" encoding="utf-8"?>
<sst xmlns="http://schemas.openxmlformats.org/spreadsheetml/2006/main" count="20" uniqueCount="20">
  <si>
    <t>Epoch</t>
  </si>
  <si>
    <t>Training Loss</t>
  </si>
  <si>
    <t>Validation Loss</t>
  </si>
  <si>
    <t>Training Accuracy</t>
  </si>
  <si>
    <t>Validation Accuracy</t>
  </si>
  <si>
    <t>Overfitting</t>
  </si>
  <si>
    <t>Rational for Epoch Selection</t>
  </si>
  <si>
    <t>Epoch 14 is the best choice because it achieves the highest validation accuracy (96.28%) in the early, well-generalizing phase of training.</t>
  </si>
  <si>
    <t>It has a low validation loss of 0.1550, indicating reliable predictions, and is very close to the minimum validation loss at Epoch 13 (0.1508).</t>
  </si>
  <si>
    <t>Overfitting is relatively low at 3.35%, and is lower than Epoch 13 (3.40%) despite Epoch 14 having higher validation accuracy.</t>
  </si>
  <si>
    <t>Although Epochs 43–50 reach 95.94% validation accuracy, their validation losses continuously increase (0.4518–0.4653) while training loss is zero, which is a clear sign of overfitting. Therefore, Epoch 14 provides the best overall balance of accuracy, validation loss, and generalization.</t>
  </si>
  <si>
    <t>Performance on Testing Data</t>
  </si>
  <si>
    <t>TP</t>
  </si>
  <si>
    <t>FP</t>
  </si>
  <si>
    <t>TN</t>
  </si>
  <si>
    <t>FN</t>
  </si>
  <si>
    <t>Accuracy</t>
  </si>
  <si>
    <t>Sensitivity</t>
  </si>
  <si>
    <t>Specificity</t>
  </si>
  <si>
    <t>Accuracy StdDev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</si>
</sst>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/>
    </xf>
    <xf borderId="0" fillId="0" fontId="1" numFmtId="0" xfId="0" applyAlignment="1" applyFont="1">
      <alignment horizontal="left" readingOrder="0"/>
    </xf>
    <xf borderId="0" fillId="0" fontId="2" numFmtId="0" xfId="0" applyAlignment="1" applyFont="1">
      <alignment horizontal="right" readingOrder="0"/>
    </xf>
    <xf borderId="0" fillId="0" fontId="2" numFmtId="10" xfId="0" applyFont="1" applyNumberFormat="1"/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2" fontId="2" numFmtId="0" xfId="0" applyAlignment="1" applyFill="1" applyFont="1">
      <alignment horizontal="right" readingOrder="0"/>
    </xf>
    <xf borderId="0" fillId="2" fontId="2" numFmtId="10" xfId="0" applyFill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2" t="s">
        <v>5</v>
      </c>
    </row>
    <row r="3">
      <c r="A3" s="3">
        <v>3.0</v>
      </c>
      <c r="B3" s="3">
        <v>0.1506</v>
      </c>
      <c r="C3" s="3">
        <v>0.2593</v>
      </c>
      <c r="D3" s="3">
        <v>0.945</v>
      </c>
      <c r="E3" s="3">
        <v>0.9255</v>
      </c>
      <c r="F3" s="4">
        <f t="shared" ref="F3:F52" si="1">ABS(E3-D3)/D3</f>
        <v>0.02063492063</v>
      </c>
      <c r="H3" s="5" t="s">
        <v>6</v>
      </c>
    </row>
    <row r="4">
      <c r="A4" s="3">
        <v>2.0</v>
      </c>
      <c r="B4" s="3">
        <v>0.2227</v>
      </c>
      <c r="C4" s="3">
        <v>0.1934</v>
      </c>
      <c r="D4" s="3">
        <v>0.9002</v>
      </c>
      <c r="E4" s="3">
        <v>0.9255</v>
      </c>
      <c r="F4" s="4">
        <f t="shared" si="1"/>
        <v>0.02810486559</v>
      </c>
      <c r="H4" s="6" t="s">
        <v>7</v>
      </c>
    </row>
    <row r="5">
      <c r="A5" s="7">
        <v>14.0</v>
      </c>
      <c r="B5" s="7">
        <v>0.0128</v>
      </c>
      <c r="C5" s="7">
        <v>0.155</v>
      </c>
      <c r="D5" s="7">
        <v>0.9962</v>
      </c>
      <c r="E5" s="7">
        <v>0.9628</v>
      </c>
      <c r="F5" s="8">
        <f t="shared" si="1"/>
        <v>0.03352740414</v>
      </c>
      <c r="H5" s="6" t="s">
        <v>8</v>
      </c>
    </row>
    <row r="6">
      <c r="A6" s="3">
        <v>13.0</v>
      </c>
      <c r="B6" s="3">
        <v>0.0219</v>
      </c>
      <c r="C6" s="3">
        <v>0.1508</v>
      </c>
      <c r="D6" s="3">
        <v>0.9949</v>
      </c>
      <c r="E6" s="3">
        <v>0.9611</v>
      </c>
      <c r="F6" s="4">
        <f t="shared" si="1"/>
        <v>0.03397326364</v>
      </c>
      <c r="H6" s="6" t="s">
        <v>9</v>
      </c>
    </row>
    <row r="7">
      <c r="A7" s="3">
        <v>8.0</v>
      </c>
      <c r="B7" s="3">
        <v>0.0598</v>
      </c>
      <c r="C7" s="3">
        <v>0.1616</v>
      </c>
      <c r="D7" s="3">
        <v>0.9818</v>
      </c>
      <c r="E7" s="3">
        <v>0.9475</v>
      </c>
      <c r="F7" s="4">
        <f t="shared" si="1"/>
        <v>0.03493583215</v>
      </c>
      <c r="H7" s="6" t="s">
        <v>10</v>
      </c>
    </row>
    <row r="8">
      <c r="A8" s="3">
        <v>11.0</v>
      </c>
      <c r="B8" s="3">
        <v>0.0416</v>
      </c>
      <c r="C8" s="3">
        <v>0.2314</v>
      </c>
      <c r="D8" s="3">
        <v>0.9827</v>
      </c>
      <c r="E8" s="3">
        <v>0.9475</v>
      </c>
      <c r="F8" s="4">
        <f t="shared" si="1"/>
        <v>0.03581968047</v>
      </c>
    </row>
    <row r="9">
      <c r="A9" s="3">
        <v>6.0</v>
      </c>
      <c r="B9" s="3">
        <v>0.0374</v>
      </c>
      <c r="C9" s="3">
        <v>0.1576</v>
      </c>
      <c r="D9" s="3">
        <v>0.986</v>
      </c>
      <c r="E9" s="3">
        <v>0.9492</v>
      </c>
      <c r="F9" s="4">
        <f t="shared" si="1"/>
        <v>0.03732251521</v>
      </c>
      <c r="H9" s="5" t="s">
        <v>11</v>
      </c>
    </row>
    <row r="10">
      <c r="A10" s="3">
        <v>12.0</v>
      </c>
      <c r="B10" s="3">
        <v>0.0244</v>
      </c>
      <c r="C10" s="3">
        <v>0.2615</v>
      </c>
      <c r="D10" s="3">
        <v>0.992</v>
      </c>
      <c r="E10" s="3">
        <v>0.9543</v>
      </c>
      <c r="F10" s="4">
        <f t="shared" si="1"/>
        <v>0.03800403226</v>
      </c>
      <c r="H10" s="6" t="s">
        <v>12</v>
      </c>
      <c r="I10" s="6" t="s">
        <v>13</v>
      </c>
      <c r="J10" s="6" t="s">
        <v>14</v>
      </c>
      <c r="K10" s="6" t="s">
        <v>15</v>
      </c>
      <c r="L10" s="6" t="s">
        <v>16</v>
      </c>
      <c r="M10" s="6" t="s">
        <v>17</v>
      </c>
      <c r="N10" s="6" t="s">
        <v>18</v>
      </c>
      <c r="O10" s="6" t="s">
        <v>19</v>
      </c>
    </row>
    <row r="11">
      <c r="A11" s="3">
        <v>43.0</v>
      </c>
      <c r="B11" s="3">
        <v>0.0</v>
      </c>
      <c r="C11" s="3">
        <v>0.4518</v>
      </c>
      <c r="D11" s="3">
        <v>1.0</v>
      </c>
      <c r="E11" s="3">
        <v>0.9594</v>
      </c>
      <c r="F11" s="4">
        <f t="shared" si="1"/>
        <v>0.0406</v>
      </c>
      <c r="H11" s="6">
        <v>146.0</v>
      </c>
      <c r="I11" s="6">
        <v>10.0</v>
      </c>
      <c r="J11" s="6">
        <v>154.0</v>
      </c>
      <c r="K11" s="6">
        <v>18.0</v>
      </c>
      <c r="L11" s="6">
        <v>0.9146</v>
      </c>
      <c r="M11" s="6">
        <v>0.8902</v>
      </c>
      <c r="N11" s="6">
        <v>0.939</v>
      </c>
      <c r="O11" s="6">
        <v>0.2794</v>
      </c>
    </row>
    <row r="12">
      <c r="A12" s="3">
        <v>44.0</v>
      </c>
      <c r="B12" s="3">
        <v>0.0</v>
      </c>
      <c r="C12" s="3">
        <v>0.4537</v>
      </c>
      <c r="D12" s="3">
        <v>1.0</v>
      </c>
      <c r="E12" s="3">
        <v>0.9594</v>
      </c>
      <c r="F12" s="4">
        <f t="shared" si="1"/>
        <v>0.0406</v>
      </c>
    </row>
    <row r="13">
      <c r="A13" s="3">
        <v>45.0</v>
      </c>
      <c r="B13" s="3">
        <v>0.0</v>
      </c>
      <c r="C13" s="3">
        <v>0.4554</v>
      </c>
      <c r="D13" s="3">
        <v>1.0</v>
      </c>
      <c r="E13" s="3">
        <v>0.9594</v>
      </c>
      <c r="F13" s="4">
        <f t="shared" si="1"/>
        <v>0.0406</v>
      </c>
    </row>
    <row r="14">
      <c r="A14" s="3">
        <v>46.0</v>
      </c>
      <c r="B14" s="3">
        <v>0.0</v>
      </c>
      <c r="C14" s="3">
        <v>0.4572</v>
      </c>
      <c r="D14" s="3">
        <v>1.0</v>
      </c>
      <c r="E14" s="3">
        <v>0.9594</v>
      </c>
      <c r="F14" s="4">
        <f t="shared" si="1"/>
        <v>0.0406</v>
      </c>
    </row>
    <row r="15">
      <c r="A15" s="3">
        <v>47.0</v>
      </c>
      <c r="B15" s="3">
        <v>0.0</v>
      </c>
      <c r="C15" s="3">
        <v>0.459</v>
      </c>
      <c r="D15" s="3">
        <v>1.0</v>
      </c>
      <c r="E15" s="3">
        <v>0.9594</v>
      </c>
      <c r="F15" s="4">
        <f t="shared" si="1"/>
        <v>0.0406</v>
      </c>
    </row>
    <row r="16">
      <c r="A16" s="3">
        <v>48.0</v>
      </c>
      <c r="B16" s="3">
        <v>0.0</v>
      </c>
      <c r="C16" s="3">
        <v>0.4609</v>
      </c>
      <c r="D16" s="3">
        <v>1.0</v>
      </c>
      <c r="E16" s="3">
        <v>0.9594</v>
      </c>
      <c r="F16" s="4">
        <f t="shared" si="1"/>
        <v>0.0406</v>
      </c>
    </row>
    <row r="17">
      <c r="A17" s="3">
        <v>49.0</v>
      </c>
      <c r="B17" s="3">
        <v>0.0</v>
      </c>
      <c r="C17" s="3">
        <v>0.4633</v>
      </c>
      <c r="D17" s="3">
        <v>1.0</v>
      </c>
      <c r="E17" s="3">
        <v>0.9594</v>
      </c>
      <c r="F17" s="4">
        <f t="shared" si="1"/>
        <v>0.0406</v>
      </c>
    </row>
    <row r="18">
      <c r="A18" s="3">
        <v>50.0</v>
      </c>
      <c r="B18" s="3">
        <v>0.0</v>
      </c>
      <c r="C18" s="3">
        <v>0.4653</v>
      </c>
      <c r="D18" s="3">
        <v>1.0</v>
      </c>
      <c r="E18" s="3">
        <v>0.9594</v>
      </c>
      <c r="F18" s="4">
        <f t="shared" si="1"/>
        <v>0.0406</v>
      </c>
    </row>
    <row r="19">
      <c r="A19" s="3">
        <v>22.0</v>
      </c>
      <c r="B19" s="3">
        <v>0.0054</v>
      </c>
      <c r="C19" s="3">
        <v>0.1982</v>
      </c>
      <c r="D19" s="3">
        <v>0.9987</v>
      </c>
      <c r="E19" s="3">
        <v>0.9577</v>
      </c>
      <c r="F19" s="4">
        <f t="shared" si="1"/>
        <v>0.04105336938</v>
      </c>
    </row>
    <row r="20">
      <c r="A20" s="3">
        <v>19.0</v>
      </c>
      <c r="B20" s="3">
        <v>0.0451</v>
      </c>
      <c r="C20" s="3">
        <v>0.4839</v>
      </c>
      <c r="D20" s="3">
        <v>0.9882</v>
      </c>
      <c r="E20" s="3">
        <v>0.9475</v>
      </c>
      <c r="F20" s="4">
        <f t="shared" si="1"/>
        <v>0.04118599474</v>
      </c>
    </row>
    <row r="21">
      <c r="A21" s="3">
        <v>4.0</v>
      </c>
      <c r="B21" s="3">
        <v>0.078</v>
      </c>
      <c r="C21" s="3">
        <v>0.173</v>
      </c>
      <c r="D21" s="3">
        <v>0.9742</v>
      </c>
      <c r="E21" s="3">
        <v>0.934</v>
      </c>
      <c r="F21" s="4">
        <f t="shared" si="1"/>
        <v>0.04126462739</v>
      </c>
    </row>
    <row r="22">
      <c r="A22" s="3">
        <v>24.0</v>
      </c>
      <c r="B22" s="3">
        <v>1.0E-4</v>
      </c>
      <c r="C22" s="3">
        <v>0.3953</v>
      </c>
      <c r="D22" s="3">
        <v>1.0</v>
      </c>
      <c r="E22" s="3">
        <v>0.9577</v>
      </c>
      <c r="F22" s="4">
        <f t="shared" si="1"/>
        <v>0.0423</v>
      </c>
    </row>
    <row r="23">
      <c r="A23" s="3">
        <v>25.0</v>
      </c>
      <c r="B23" s="3">
        <v>0.0</v>
      </c>
      <c r="C23" s="3">
        <v>0.4017</v>
      </c>
      <c r="D23" s="3">
        <v>1.0</v>
      </c>
      <c r="E23" s="3">
        <v>0.9577</v>
      </c>
      <c r="F23" s="4">
        <f t="shared" si="1"/>
        <v>0.0423</v>
      </c>
    </row>
    <row r="24">
      <c r="A24" s="3">
        <v>26.0</v>
      </c>
      <c r="B24" s="3">
        <v>0.0</v>
      </c>
      <c r="C24" s="3">
        <v>0.4071</v>
      </c>
      <c r="D24" s="3">
        <v>1.0</v>
      </c>
      <c r="E24" s="3">
        <v>0.9577</v>
      </c>
      <c r="F24" s="4">
        <f t="shared" si="1"/>
        <v>0.0423</v>
      </c>
    </row>
    <row r="25">
      <c r="A25" s="3">
        <v>27.0</v>
      </c>
      <c r="B25" s="3">
        <v>0.0</v>
      </c>
      <c r="C25" s="3">
        <v>0.4115</v>
      </c>
      <c r="D25" s="3">
        <v>1.0</v>
      </c>
      <c r="E25" s="3">
        <v>0.9577</v>
      </c>
      <c r="F25" s="4">
        <f t="shared" si="1"/>
        <v>0.0423</v>
      </c>
    </row>
    <row r="26">
      <c r="A26" s="3">
        <v>28.0</v>
      </c>
      <c r="B26" s="3">
        <v>0.0</v>
      </c>
      <c r="C26" s="3">
        <v>0.416</v>
      </c>
      <c r="D26" s="3">
        <v>1.0</v>
      </c>
      <c r="E26" s="3">
        <v>0.9577</v>
      </c>
      <c r="F26" s="4">
        <f t="shared" si="1"/>
        <v>0.0423</v>
      </c>
    </row>
    <row r="27">
      <c r="A27" s="3">
        <v>29.0</v>
      </c>
      <c r="B27" s="3">
        <v>0.0</v>
      </c>
      <c r="C27" s="3">
        <v>0.4193</v>
      </c>
      <c r="D27" s="3">
        <v>1.0</v>
      </c>
      <c r="E27" s="3">
        <v>0.9577</v>
      </c>
      <c r="F27" s="4">
        <f t="shared" si="1"/>
        <v>0.0423</v>
      </c>
    </row>
    <row r="28">
      <c r="A28" s="3">
        <v>30.0</v>
      </c>
      <c r="B28" s="3">
        <v>0.0</v>
      </c>
      <c r="C28" s="3">
        <v>0.4226</v>
      </c>
      <c r="D28" s="3">
        <v>1.0</v>
      </c>
      <c r="E28" s="3">
        <v>0.9577</v>
      </c>
      <c r="F28" s="4">
        <f t="shared" si="1"/>
        <v>0.0423</v>
      </c>
    </row>
    <row r="29">
      <c r="A29" s="3">
        <v>31.0</v>
      </c>
      <c r="B29" s="3">
        <v>0.0</v>
      </c>
      <c r="C29" s="3">
        <v>0.4257</v>
      </c>
      <c r="D29" s="3">
        <v>1.0</v>
      </c>
      <c r="E29" s="3">
        <v>0.9577</v>
      </c>
      <c r="F29" s="4">
        <f t="shared" si="1"/>
        <v>0.0423</v>
      </c>
    </row>
    <row r="30">
      <c r="A30" s="3">
        <v>32.0</v>
      </c>
      <c r="B30" s="3">
        <v>0.0</v>
      </c>
      <c r="C30" s="3">
        <v>0.4281</v>
      </c>
      <c r="D30" s="3">
        <v>1.0</v>
      </c>
      <c r="E30" s="3">
        <v>0.9577</v>
      </c>
      <c r="F30" s="4">
        <f t="shared" si="1"/>
        <v>0.0423</v>
      </c>
    </row>
    <row r="31">
      <c r="A31" s="3">
        <v>33.0</v>
      </c>
      <c r="B31" s="3">
        <v>0.0</v>
      </c>
      <c r="C31" s="3">
        <v>0.4316</v>
      </c>
      <c r="D31" s="3">
        <v>1.0</v>
      </c>
      <c r="E31" s="3">
        <v>0.9577</v>
      </c>
      <c r="F31" s="4">
        <f t="shared" si="1"/>
        <v>0.0423</v>
      </c>
    </row>
    <row r="32">
      <c r="A32" s="3">
        <v>34.0</v>
      </c>
      <c r="B32" s="3">
        <v>0.0</v>
      </c>
      <c r="C32" s="3">
        <v>0.4341</v>
      </c>
      <c r="D32" s="3">
        <v>1.0</v>
      </c>
      <c r="E32" s="3">
        <v>0.9577</v>
      </c>
      <c r="F32" s="4">
        <f t="shared" si="1"/>
        <v>0.0423</v>
      </c>
    </row>
    <row r="33">
      <c r="A33" s="3">
        <v>35.0</v>
      </c>
      <c r="B33" s="3">
        <v>0.0</v>
      </c>
      <c r="C33" s="3">
        <v>0.436</v>
      </c>
      <c r="D33" s="3">
        <v>1.0</v>
      </c>
      <c r="E33" s="3">
        <v>0.9577</v>
      </c>
      <c r="F33" s="4">
        <f t="shared" si="1"/>
        <v>0.0423</v>
      </c>
    </row>
    <row r="34">
      <c r="A34" s="3">
        <v>36.0</v>
      </c>
      <c r="B34" s="3">
        <v>0.0</v>
      </c>
      <c r="C34" s="3">
        <v>0.4382</v>
      </c>
      <c r="D34" s="3">
        <v>1.0</v>
      </c>
      <c r="E34" s="3">
        <v>0.9577</v>
      </c>
      <c r="F34" s="4">
        <f t="shared" si="1"/>
        <v>0.0423</v>
      </c>
    </row>
    <row r="35">
      <c r="A35" s="3">
        <v>37.0</v>
      </c>
      <c r="B35" s="3">
        <v>0.0</v>
      </c>
      <c r="C35" s="3">
        <v>0.4406</v>
      </c>
      <c r="D35" s="3">
        <v>1.0</v>
      </c>
      <c r="E35" s="3">
        <v>0.9577</v>
      </c>
      <c r="F35" s="4">
        <f t="shared" si="1"/>
        <v>0.0423</v>
      </c>
    </row>
    <row r="36">
      <c r="A36" s="3">
        <v>38.0</v>
      </c>
      <c r="B36" s="3">
        <v>0.0</v>
      </c>
      <c r="C36" s="3">
        <v>0.4426</v>
      </c>
      <c r="D36" s="3">
        <v>1.0</v>
      </c>
      <c r="E36" s="3">
        <v>0.9577</v>
      </c>
      <c r="F36" s="4">
        <f t="shared" si="1"/>
        <v>0.0423</v>
      </c>
    </row>
    <row r="37">
      <c r="A37" s="3">
        <v>39.0</v>
      </c>
      <c r="B37" s="3">
        <v>0.0</v>
      </c>
      <c r="C37" s="3">
        <v>0.4446</v>
      </c>
      <c r="D37" s="3">
        <v>1.0</v>
      </c>
      <c r="E37" s="3">
        <v>0.9577</v>
      </c>
      <c r="F37" s="4">
        <f t="shared" si="1"/>
        <v>0.0423</v>
      </c>
    </row>
    <row r="38">
      <c r="A38" s="3">
        <v>40.0</v>
      </c>
      <c r="B38" s="3">
        <v>0.0</v>
      </c>
      <c r="C38" s="3">
        <v>0.4467</v>
      </c>
      <c r="D38" s="3">
        <v>1.0</v>
      </c>
      <c r="E38" s="3">
        <v>0.9577</v>
      </c>
      <c r="F38" s="4">
        <f t="shared" si="1"/>
        <v>0.0423</v>
      </c>
    </row>
    <row r="39">
      <c r="A39" s="3">
        <v>41.0</v>
      </c>
      <c r="B39" s="3">
        <v>0.0</v>
      </c>
      <c r="C39" s="3">
        <v>0.4487</v>
      </c>
      <c r="D39" s="3">
        <v>1.0</v>
      </c>
      <c r="E39" s="3">
        <v>0.9577</v>
      </c>
      <c r="F39" s="4">
        <f t="shared" si="1"/>
        <v>0.0423</v>
      </c>
    </row>
    <row r="40">
      <c r="A40" s="3">
        <v>42.0</v>
      </c>
      <c r="B40" s="3">
        <v>0.0</v>
      </c>
      <c r="C40" s="3">
        <v>0.4505</v>
      </c>
      <c r="D40" s="3">
        <v>1.0</v>
      </c>
      <c r="E40" s="3">
        <v>0.9577</v>
      </c>
      <c r="F40" s="4">
        <f t="shared" si="1"/>
        <v>0.0423</v>
      </c>
    </row>
    <row r="41">
      <c r="A41" s="3">
        <v>7.0</v>
      </c>
      <c r="B41" s="3">
        <v>0.0281</v>
      </c>
      <c r="C41" s="3">
        <v>0.2133</v>
      </c>
      <c r="D41" s="3">
        <v>0.9886</v>
      </c>
      <c r="E41" s="3">
        <v>0.9459</v>
      </c>
      <c r="F41" s="4">
        <f t="shared" si="1"/>
        <v>0.04319239328</v>
      </c>
    </row>
    <row r="42">
      <c r="A42" s="3">
        <v>15.0</v>
      </c>
      <c r="B42" s="3">
        <v>0.0037</v>
      </c>
      <c r="C42" s="3">
        <v>0.1944</v>
      </c>
      <c r="D42" s="3">
        <v>0.9992</v>
      </c>
      <c r="E42" s="3">
        <v>0.9543</v>
      </c>
      <c r="F42" s="4">
        <f t="shared" si="1"/>
        <v>0.04493594876</v>
      </c>
    </row>
    <row r="43">
      <c r="A43" s="3">
        <v>16.0</v>
      </c>
      <c r="B43" s="3">
        <v>0.009</v>
      </c>
      <c r="C43" s="3">
        <v>0.2024</v>
      </c>
      <c r="D43" s="3">
        <v>0.9975</v>
      </c>
      <c r="E43" s="3">
        <v>0.9526</v>
      </c>
      <c r="F43" s="4">
        <f t="shared" si="1"/>
        <v>0.04501253133</v>
      </c>
    </row>
    <row r="44">
      <c r="A44" s="3">
        <v>21.0</v>
      </c>
      <c r="B44" s="3">
        <v>0.0246</v>
      </c>
      <c r="C44" s="3">
        <v>0.2089</v>
      </c>
      <c r="D44" s="3">
        <v>0.9932</v>
      </c>
      <c r="E44" s="3">
        <v>0.9475</v>
      </c>
      <c r="F44" s="4">
        <f t="shared" si="1"/>
        <v>0.04601288764</v>
      </c>
    </row>
    <row r="45">
      <c r="A45" s="3">
        <v>18.0</v>
      </c>
      <c r="B45" s="3">
        <v>0.118</v>
      </c>
      <c r="C45" s="3">
        <v>0.2977</v>
      </c>
      <c r="D45" s="3">
        <v>0.9776</v>
      </c>
      <c r="E45" s="3">
        <v>0.9323</v>
      </c>
      <c r="F45" s="4">
        <f t="shared" si="1"/>
        <v>0.04633797054</v>
      </c>
    </row>
    <row r="46">
      <c r="A46" s="3">
        <v>23.0</v>
      </c>
      <c r="B46" s="3">
        <v>0.0059</v>
      </c>
      <c r="C46" s="3">
        <v>0.3934</v>
      </c>
      <c r="D46" s="3">
        <v>0.9987</v>
      </c>
      <c r="E46" s="3">
        <v>0.9509</v>
      </c>
      <c r="F46" s="4">
        <f t="shared" si="1"/>
        <v>0.04786222089</v>
      </c>
    </row>
    <row r="47">
      <c r="A47" s="3">
        <v>10.0</v>
      </c>
      <c r="B47" s="3">
        <v>0.0166</v>
      </c>
      <c r="C47" s="3">
        <v>0.1777</v>
      </c>
      <c r="D47" s="3">
        <v>0.9953</v>
      </c>
      <c r="E47" s="3">
        <v>0.9475</v>
      </c>
      <c r="F47" s="4">
        <f t="shared" si="1"/>
        <v>0.04802572089</v>
      </c>
    </row>
    <row r="48">
      <c r="A48" s="3">
        <v>9.0</v>
      </c>
      <c r="B48" s="3">
        <v>0.04</v>
      </c>
      <c r="C48" s="3">
        <v>0.196</v>
      </c>
      <c r="D48" s="3">
        <v>0.9869</v>
      </c>
      <c r="E48" s="3">
        <v>0.9391</v>
      </c>
      <c r="F48" s="4">
        <f t="shared" si="1"/>
        <v>0.04843449184</v>
      </c>
    </row>
    <row r="49">
      <c r="A49" s="3">
        <v>17.0</v>
      </c>
      <c r="B49" s="3">
        <v>0.0161</v>
      </c>
      <c r="C49" s="3">
        <v>0.2371</v>
      </c>
      <c r="D49" s="3">
        <v>0.9958</v>
      </c>
      <c r="E49" s="3">
        <v>0.9475</v>
      </c>
      <c r="F49" s="4">
        <f t="shared" si="1"/>
        <v>0.04850371561</v>
      </c>
    </row>
    <row r="50">
      <c r="A50" s="3">
        <v>5.0</v>
      </c>
      <c r="B50" s="3">
        <v>0.0464</v>
      </c>
      <c r="C50" s="3">
        <v>0.1792</v>
      </c>
      <c r="D50" s="3">
        <v>0.9835</v>
      </c>
      <c r="E50" s="3">
        <v>0.9222</v>
      </c>
      <c r="F50" s="4">
        <f t="shared" si="1"/>
        <v>0.06232841891</v>
      </c>
    </row>
    <row r="51">
      <c r="A51" s="3">
        <v>20.0</v>
      </c>
      <c r="B51" s="3">
        <v>0.0353</v>
      </c>
      <c r="C51" s="3">
        <v>0.3006</v>
      </c>
      <c r="D51" s="3">
        <v>0.9907</v>
      </c>
      <c r="E51" s="3">
        <v>0.9272</v>
      </c>
      <c r="F51" s="4">
        <f t="shared" si="1"/>
        <v>0.06409609367</v>
      </c>
    </row>
    <row r="52">
      <c r="A52" s="3">
        <v>1.0</v>
      </c>
      <c r="B52" s="3">
        <v>0.4638</v>
      </c>
      <c r="C52" s="3">
        <v>0.2831</v>
      </c>
      <c r="D52" s="3">
        <v>0.7741</v>
      </c>
      <c r="E52" s="3">
        <v>0.8832</v>
      </c>
      <c r="F52" s="4">
        <f t="shared" si="1"/>
        <v>0.1409378633</v>
      </c>
    </row>
  </sheetData>
  <autoFilter ref="$A$2:$F$52">
    <sortState ref="A2:F52">
      <sortCondition ref="F2:F52"/>
    </sortState>
  </autoFilter>
  <drawing r:id="rId1"/>
</worksheet>
</file>