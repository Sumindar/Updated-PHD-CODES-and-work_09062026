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</sheets>
  <definedNames/>
  <calcPr/>
</workbook>
</file>

<file path=xl/sharedStrings.xml><?xml version="1.0" encoding="utf-8"?>
<sst xmlns="http://schemas.openxmlformats.org/spreadsheetml/2006/main" count="69" uniqueCount="48">
  <si>
    <t>Performance on Testing Data</t>
  </si>
  <si>
    <t>Model</t>
  </si>
  <si>
    <t>TP</t>
  </si>
  <si>
    <t>FP</t>
  </si>
  <si>
    <t>TN</t>
  </si>
  <si>
    <t>FN</t>
  </si>
  <si>
    <t>Accuracy</t>
  </si>
  <si>
    <t>Sensitivity</t>
  </si>
  <si>
    <t>Specificity</t>
  </si>
  <si>
    <t>Accuracy StdDev</t>
  </si>
  <si>
    <t>Brier Score</t>
  </si>
  <si>
    <t>ECE</t>
  </si>
  <si>
    <t>MCE</t>
  </si>
  <si>
    <t>Accuracy (95% CI)</t>
  </si>
  <si>
    <t>Sensitivity (95% CI)</t>
  </si>
  <si>
    <t>Specificity (95% CI)</t>
  </si>
  <si>
    <t>Precision (95% CI)</t>
  </si>
  <si>
    <t>VGGNet</t>
  </si>
  <si>
    <t>0.8811–0.9451</t>
  </si>
  <si>
    <t>0.8366–0.9368</t>
  </si>
  <si>
    <t>0.9007–0.9727</t>
  </si>
  <si>
    <t>0.8951–0.9724</t>
  </si>
  <si>
    <t>ViT</t>
  </si>
  <si>
    <t>0.8864–0.9453</t>
  </si>
  <si>
    <t>0.8332–0.9294</t>
  </si>
  <si>
    <t>0.9067–0.9751</t>
  </si>
  <si>
    <t>0.9008–0.9734</t>
  </si>
  <si>
    <t>EfficientNet-B0</t>
  </si>
  <si>
    <t>0.8933–0.9512</t>
  </si>
  <si>
    <t>0.8708–0.9568</t>
  </si>
  <si>
    <t>0.8926–0.9682</t>
  </si>
  <si>
    <t>0.8912–0.9680</t>
  </si>
  <si>
    <t>Inception-v3</t>
  </si>
  <si>
    <t>0.9005–0.9553</t>
  </si>
  <si>
    <t>0.8914–0.9665</t>
  </si>
  <si>
    <t>0.8765–0.9577</t>
  </si>
  <si>
    <t>0.8779–0.9582</t>
  </si>
  <si>
    <t>ResNet 50</t>
  </si>
  <si>
    <t>0.9041–0.9577</t>
  </si>
  <si>
    <t>0.8839–0.9621</t>
  </si>
  <si>
    <t>0.8846–0.9624</t>
  </si>
  <si>
    <t>DenseNet</t>
  </si>
  <si>
    <t>0.9077–0.9602</t>
  </si>
  <si>
    <t>Swin-T</t>
  </si>
  <si>
    <t>EPC-Net</t>
  </si>
  <si>
    <t>0.9691–0.9952</t>
  </si>
  <si>
    <t>0.9566–0.9966</t>
  </si>
  <si>
    <t>DenseNet121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</si>
</sst>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#,##0.0000"/>
    <numFmt numFmtId="165" formatCode="0.0%"/>
  </numFmts>
  <fonts count="9">
    <font>
      <sz val="10.0"/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theme="1"/>
      <name val="Times New Roman"/>
    </font>
    <font>
      <sz val="10.0"/>
      <color theme="1"/>
      <name val="Calibri"/>
    </font>
    <font>
      <sz val="10.0"/>
      <color rgb="FF000000"/>
      <name val="Calibri"/>
    </font>
    <font>
      <b/>
      <color rgb="FF000000"/>
      <name val="'Times New Roman'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/>
    </xf>
    <xf borderId="0" fillId="0" fontId="2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vertical="bottom"/>
    </xf>
    <xf borderId="1" fillId="0" fontId="1" numFmtId="0" xfId="0" applyAlignment="1" applyBorder="1" applyFont="1">
      <alignment horizontal="right" readingOrder="0"/>
    </xf>
    <xf borderId="1" fillId="2" fontId="4" numFmtId="0" xfId="0" applyAlignment="1" applyBorder="1" applyFill="1" applyFont="1">
      <alignment horizontal="center" shrinkToFit="0" vertical="bottom" wrapText="1"/>
    </xf>
    <xf borderId="1" fillId="0" fontId="5" numFmtId="0" xfId="0" applyAlignment="1" applyBorder="1" applyFont="1">
      <alignment readingOrder="0"/>
    </xf>
    <xf borderId="1" fillId="0" fontId="5" numFmtId="164" xfId="0" applyAlignment="1" applyBorder="1" applyFont="1" applyNumberFormat="1">
      <alignment readingOrder="0"/>
    </xf>
    <xf borderId="1" fillId="0" fontId="5" numFmtId="164" xfId="0" applyAlignment="1" applyBorder="1" applyFont="1" applyNumberFormat="1">
      <alignment horizontal="right" readingOrder="0"/>
    </xf>
    <xf borderId="1" fillId="0" fontId="5" numFmtId="0" xfId="0" applyAlignment="1" applyBorder="1" applyFont="1">
      <alignment horizontal="right" vertical="bottom"/>
    </xf>
    <xf borderId="1" fillId="0" fontId="5" numFmtId="164" xfId="0" applyAlignment="1" applyBorder="1" applyFont="1" applyNumberFormat="1">
      <alignment horizontal="right" vertical="bottom"/>
    </xf>
    <xf borderId="1" fillId="0" fontId="4" numFmtId="0" xfId="0" applyAlignment="1" applyBorder="1" applyFont="1">
      <alignment horizontal="center" shrinkToFit="0" vertical="bottom" wrapText="1"/>
    </xf>
    <xf borderId="1" fillId="0" fontId="6" numFmtId="0" xfId="0" applyAlignment="1" applyBorder="1" applyFont="1">
      <alignment horizontal="right" readingOrder="0" shrinkToFit="0" vertical="bottom" wrapText="0"/>
    </xf>
    <xf borderId="1" fillId="0" fontId="6" numFmtId="164" xfId="0" applyAlignment="1" applyBorder="1" applyFont="1" applyNumberFormat="1">
      <alignment horizontal="right" readingOrder="0" shrinkToFit="0" vertical="bottom" wrapText="0"/>
    </xf>
    <xf borderId="1" fillId="3" fontId="4" numFmtId="0" xfId="0" applyAlignment="1" applyBorder="1" applyFill="1" applyFont="1">
      <alignment horizontal="center" shrinkToFit="0" vertical="bottom" wrapText="1"/>
    </xf>
    <xf borderId="1" fillId="3" fontId="5" numFmtId="0" xfId="0" applyAlignment="1" applyBorder="1" applyFill="1" applyFont="1">
      <alignment horizontal="right" vertical="bottom"/>
    </xf>
    <xf borderId="1" fillId="3" fontId="5" numFmtId="164" xfId="0" applyAlignment="1" applyBorder="1" applyFill="1" applyFont="1" applyNumberFormat="1">
      <alignment horizontal="right" vertical="bottom"/>
    </xf>
    <xf borderId="1" fillId="3" fontId="5" numFmtId="164" xfId="0" applyAlignment="1" applyBorder="1" applyFill="1" applyFont="1" applyNumberFormat="1">
      <alignment horizontal="right" readingOrder="0"/>
    </xf>
    <xf borderId="1" fillId="3" fontId="2" numFmtId="0" xfId="0" applyAlignment="1" applyBorder="1" applyFill="1" applyFont="1">
      <alignment horizontal="center" vertical="bottom"/>
    </xf>
    <xf borderId="1" fillId="3" fontId="5" numFmtId="0" xfId="0" applyAlignment="1" applyBorder="1" applyFill="1" applyFont="1">
      <alignment readingOrder="0"/>
    </xf>
    <xf borderId="1" fillId="3" fontId="5" numFmtId="164" xfId="0" applyAlignment="1" applyBorder="1" applyFill="1" applyFont="1" applyNumberFormat="1">
      <alignment readingOrder="0"/>
    </xf>
    <xf borderId="1" fillId="4" fontId="7" numFmtId="0" xfId="0" applyAlignment="1" applyBorder="1" applyFill="1" applyFont="1">
      <alignment horizontal="center" readingOrder="0"/>
    </xf>
    <xf borderId="1" fillId="4" fontId="6" numFmtId="0" xfId="0" applyAlignment="1" applyBorder="1" applyFill="1" applyFont="1">
      <alignment horizontal="right" readingOrder="0" shrinkToFit="0" vertical="bottom" wrapText="0"/>
    </xf>
    <xf borderId="1" fillId="4" fontId="6" numFmtId="164" xfId="0" applyAlignment="1" applyBorder="1" applyFill="1" applyFont="1" applyNumberFormat="1">
      <alignment horizontal="right" readingOrder="0" shrinkToFit="0" vertical="bottom" wrapText="0"/>
    </xf>
    <xf borderId="1" fillId="4" fontId="5" numFmtId="164" xfId="0" applyAlignment="1" applyBorder="1" applyFill="1" applyFont="1" applyNumberFormat="1">
      <alignment horizontal="right" readingOrder="0"/>
    </xf>
    <xf borderId="0" fillId="0" fontId="8" numFmtId="165" xfId="0" applyFont="1" applyNumberFormat="1"/>
    <xf borderId="1" fillId="0" fontId="3" numFmtId="0" xfId="0" applyAlignment="1" applyBorder="1" applyFont="1">
      <alignment vertical="bottom"/>
    </xf>
    <xf borderId="1" fillId="0" fontId="7" numFmtId="0" xfId="0" applyAlignment="1" applyBorder="1" applyFont="1">
      <alignment horizontal="center" readingOrder="0" shrinkToFit="0" wrapText="1"/>
    </xf>
    <xf borderId="1" fillId="0" fontId="8" numFmtId="164" xfId="0" applyAlignment="1" applyBorder="1" applyFont="1" applyNumberFormat="1">
      <alignment readingOrder="0"/>
    </xf>
    <xf borderId="1" fillId="3" fontId="7" numFmtId="0" xfId="0" applyAlignment="1" applyBorder="1" applyFill="1" applyFont="1">
      <alignment horizontal="center" readingOrder="0" shrinkToFit="0" wrapText="1"/>
    </xf>
    <xf borderId="1" fillId="3" fontId="8" numFmtId="164" xfId="0" applyAlignment="1" applyBorder="1" applyFill="1" applyFont="1" applyNumberFormat="1">
      <alignment readingOrder="0"/>
    </xf>
    <xf borderId="1" fillId="4" fontId="7" numFmtId="0" xfId="0" applyAlignment="1" applyBorder="1" applyFill="1" applyFont="1">
      <alignment horizontal="center" readingOrder="0" shrinkToFit="0" wrapText="1"/>
    </xf>
    <xf borderId="1" fillId="4" fontId="8" numFmtId="164" xfId="0" applyAlignment="1" applyBorder="1" applyFill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4" max="14" width="15.5"/>
    <col customWidth="1" min="15" max="16" width="16.38"/>
    <col customWidth="1" min="17" max="17" width="15.5"/>
  </cols>
  <sheetData>
    <row r="1">
      <c r="K1" s="1"/>
      <c r="L1" s="1"/>
      <c r="M1" s="1"/>
      <c r="N1" s="1"/>
      <c r="O1" s="1"/>
      <c r="P1" s="1"/>
      <c r="Q1" s="1"/>
    </row>
    <row r="2">
      <c r="B2" s="2" t="s">
        <v>0</v>
      </c>
      <c r="C2" s="3"/>
      <c r="D2" s="3"/>
      <c r="E2" s="3"/>
      <c r="F2" s="3"/>
      <c r="G2" s="3"/>
      <c r="H2" s="3"/>
      <c r="I2" s="3"/>
      <c r="J2" s="3"/>
    </row>
    <row r="3">
      <c r="B3" s="4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  <c r="K3" s="6" t="s">
        <v>10</v>
      </c>
      <c r="L3" s="6" t="s">
        <v>11</v>
      </c>
      <c r="M3" s="6" t="s">
        <v>12</v>
      </c>
      <c r="N3" s="6" t="s">
        <v>13</v>
      </c>
      <c r="O3" s="6" t="s">
        <v>14</v>
      </c>
      <c r="P3" s="6" t="s">
        <v>15</v>
      </c>
      <c r="Q3" s="6" t="s">
        <v>16</v>
      </c>
    </row>
    <row r="4">
      <c r="B4" s="7" t="s">
        <v>17</v>
      </c>
      <c r="C4" s="8">
        <v>146.0</v>
      </c>
      <c r="D4" s="8">
        <v>10.0</v>
      </c>
      <c r="E4" s="8">
        <v>154.0</v>
      </c>
      <c r="F4" s="8">
        <v>18.0</v>
      </c>
      <c r="G4" s="9">
        <v>0.9146</v>
      </c>
      <c r="H4" s="9">
        <v>0.8902</v>
      </c>
      <c r="I4" s="9">
        <v>0.939</v>
      </c>
      <c r="J4" s="9">
        <v>0.2794</v>
      </c>
      <c r="K4" s="10">
        <v>0.084211</v>
      </c>
      <c r="L4" s="10">
        <v>0.087212</v>
      </c>
      <c r="M4" s="10">
        <v>0.436823</v>
      </c>
      <c r="N4" s="10" t="s">
        <v>18</v>
      </c>
      <c r="O4" s="10" t="s">
        <v>19</v>
      </c>
      <c r="P4" s="10" t="s">
        <v>20</v>
      </c>
      <c r="Q4" s="10" t="s">
        <v>21</v>
      </c>
    </row>
    <row r="5">
      <c r="B5" s="7" t="s">
        <v>22</v>
      </c>
      <c r="C5" s="11">
        <v>146.0</v>
      </c>
      <c r="D5" s="11">
        <v>8.0</v>
      </c>
      <c r="E5" s="11">
        <v>156.0</v>
      </c>
      <c r="F5" s="11">
        <v>18.0</v>
      </c>
      <c r="G5" s="12">
        <v>0.9207</v>
      </c>
      <c r="H5" s="12">
        <v>0.8902</v>
      </c>
      <c r="I5" s="12">
        <v>0.9512</v>
      </c>
      <c r="J5" s="12">
        <v>0.2702</v>
      </c>
      <c r="K5" s="10">
        <v>0.07294</v>
      </c>
      <c r="L5" s="10">
        <v>0.500297</v>
      </c>
      <c r="M5" s="10">
        <v>0.919818</v>
      </c>
      <c r="N5" s="10" t="s">
        <v>23</v>
      </c>
      <c r="O5" s="10" t="s">
        <v>24</v>
      </c>
      <c r="P5" s="10" t="s">
        <v>25</v>
      </c>
      <c r="Q5" s="10" t="s">
        <v>26</v>
      </c>
    </row>
    <row r="6">
      <c r="B6" s="13" t="s">
        <v>27</v>
      </c>
      <c r="C6" s="14">
        <v>150.0</v>
      </c>
      <c r="D6" s="14">
        <v>11.0</v>
      </c>
      <c r="E6" s="14">
        <v>153.0</v>
      </c>
      <c r="F6" s="14">
        <v>14.0</v>
      </c>
      <c r="G6" s="15">
        <v>0.9238</v>
      </c>
      <c r="H6" s="15">
        <v>0.9146</v>
      </c>
      <c r="I6" s="15">
        <v>0.9329</v>
      </c>
      <c r="J6" s="15">
        <v>0.2653</v>
      </c>
      <c r="K6" s="10">
        <v>0.0748</v>
      </c>
      <c r="L6" s="10">
        <v>0.0697</v>
      </c>
      <c r="M6" s="10">
        <v>0.4196</v>
      </c>
      <c r="N6" s="10" t="s">
        <v>28</v>
      </c>
      <c r="O6" s="10" t="s">
        <v>29</v>
      </c>
      <c r="P6" s="10" t="s">
        <v>30</v>
      </c>
      <c r="Q6" s="10" t="s">
        <v>31</v>
      </c>
    </row>
    <row r="7">
      <c r="B7" s="7" t="s">
        <v>32</v>
      </c>
      <c r="C7" s="11">
        <v>154.0</v>
      </c>
      <c r="D7" s="11">
        <v>12.0</v>
      </c>
      <c r="E7" s="11">
        <v>152.0</v>
      </c>
      <c r="F7" s="11">
        <v>10.0</v>
      </c>
      <c r="G7" s="12">
        <v>0.9329</v>
      </c>
      <c r="H7" s="12">
        <v>0.939</v>
      </c>
      <c r="I7" s="12">
        <v>0.9268</v>
      </c>
      <c r="J7" s="12">
        <v>0.2501</v>
      </c>
      <c r="K7" s="10">
        <v>0.063149</v>
      </c>
      <c r="L7" s="10">
        <v>0.062148</v>
      </c>
      <c r="M7" s="10">
        <v>0.657177</v>
      </c>
      <c r="N7" s="10" t="s">
        <v>33</v>
      </c>
      <c r="O7" s="10" t="s">
        <v>34</v>
      </c>
      <c r="P7" s="10" t="s">
        <v>35</v>
      </c>
      <c r="Q7" s="10" t="s">
        <v>36</v>
      </c>
    </row>
    <row r="8">
      <c r="B8" s="16" t="s">
        <v>37</v>
      </c>
      <c r="C8" s="17">
        <v>154.0</v>
      </c>
      <c r="D8" s="17">
        <v>11.0</v>
      </c>
      <c r="E8" s="17">
        <v>153.0</v>
      </c>
      <c r="F8" s="17">
        <v>10.0</v>
      </c>
      <c r="G8" s="18">
        <v>0.936</v>
      </c>
      <c r="H8" s="18">
        <v>0.939</v>
      </c>
      <c r="I8" s="18">
        <v>0.9329</v>
      </c>
      <c r="J8" s="18">
        <v>0.2448</v>
      </c>
      <c r="K8" s="19">
        <v>0.0634</v>
      </c>
      <c r="L8" s="19">
        <v>0.0615</v>
      </c>
      <c r="M8" s="19">
        <v>0.5245</v>
      </c>
      <c r="N8" s="19" t="s">
        <v>38</v>
      </c>
      <c r="O8" s="19" t="s">
        <v>34</v>
      </c>
      <c r="P8" s="19" t="s">
        <v>39</v>
      </c>
      <c r="Q8" s="19" t="s">
        <v>40</v>
      </c>
    </row>
    <row r="9">
      <c r="B9" s="20" t="s">
        <v>41</v>
      </c>
      <c r="C9" s="17">
        <v>154.0</v>
      </c>
      <c r="D9" s="17">
        <v>10.0</v>
      </c>
      <c r="E9" s="17">
        <v>154.0</v>
      </c>
      <c r="F9" s="17">
        <v>10.0</v>
      </c>
      <c r="G9" s="18">
        <v>0.939</v>
      </c>
      <c r="H9" s="18">
        <v>0.939</v>
      </c>
      <c r="I9" s="18">
        <v>0.939</v>
      </c>
      <c r="J9" s="18">
        <v>0.2393</v>
      </c>
      <c r="K9" s="19">
        <v>0.060456</v>
      </c>
      <c r="L9" s="19">
        <v>0.060823</v>
      </c>
      <c r="M9" s="19">
        <v>0.386104</v>
      </c>
      <c r="N9" s="19" t="s">
        <v>42</v>
      </c>
      <c r="O9" s="19" t="s">
        <v>34</v>
      </c>
      <c r="P9" s="19" t="s">
        <v>34</v>
      </c>
      <c r="Q9" s="19" t="s">
        <v>34</v>
      </c>
    </row>
    <row r="10">
      <c r="B10" s="16" t="s">
        <v>43</v>
      </c>
      <c r="C10" s="21">
        <v>154.0</v>
      </c>
      <c r="D10" s="21">
        <v>10.0</v>
      </c>
      <c r="E10" s="21">
        <v>154.0</v>
      </c>
      <c r="F10" s="21">
        <v>10.0</v>
      </c>
      <c r="G10" s="22">
        <v>0.939</v>
      </c>
      <c r="H10" s="22">
        <v>0.939</v>
      </c>
      <c r="I10" s="22">
        <v>0.939</v>
      </c>
      <c r="J10" s="22">
        <v>0.2393</v>
      </c>
      <c r="K10" s="19">
        <v>0.0617</v>
      </c>
      <c r="L10" s="19">
        <v>0.0613</v>
      </c>
      <c r="M10" s="19">
        <v>0.4306</v>
      </c>
      <c r="N10" s="19" t="s">
        <v>42</v>
      </c>
      <c r="O10" s="19" t="s">
        <v>34</v>
      </c>
      <c r="P10" s="19" t="s">
        <v>34</v>
      </c>
      <c r="Q10" s="19" t="s">
        <v>34</v>
      </c>
    </row>
    <row r="11">
      <c r="B11" s="23" t="s">
        <v>44</v>
      </c>
      <c r="C11" s="24">
        <v>162.0</v>
      </c>
      <c r="D11" s="24">
        <v>2.0</v>
      </c>
      <c r="E11" s="24">
        <v>162.0</v>
      </c>
      <c r="F11" s="24">
        <v>2.0</v>
      </c>
      <c r="G11" s="25">
        <v>0.9878</v>
      </c>
      <c r="H11" s="25">
        <v>0.9878</v>
      </c>
      <c r="I11" s="25">
        <v>0.9878</v>
      </c>
      <c r="J11" s="25">
        <v>0.1098</v>
      </c>
      <c r="K11" s="26">
        <v>0.0123</v>
      </c>
      <c r="L11" s="26">
        <v>0.0124</v>
      </c>
      <c r="M11" s="26">
        <v>0.174</v>
      </c>
      <c r="N11" s="26" t="s">
        <v>45</v>
      </c>
      <c r="O11" s="26" t="s">
        <v>46</v>
      </c>
      <c r="P11" s="26" t="s">
        <v>46</v>
      </c>
      <c r="Q11" s="26" t="s">
        <v>46</v>
      </c>
    </row>
    <row r="12">
      <c r="G12" s="27"/>
    </row>
    <row r="14">
      <c r="B14" s="28"/>
      <c r="C14" s="5" t="s">
        <v>2</v>
      </c>
      <c r="D14" s="5" t="s">
        <v>3</v>
      </c>
      <c r="E14" s="5" t="s">
        <v>4</v>
      </c>
      <c r="F14" s="5" t="s">
        <v>5</v>
      </c>
    </row>
    <row r="15">
      <c r="B15" s="29" t="s">
        <v>17</v>
      </c>
      <c r="C15" s="30">
        <f t="shared" ref="C15:F15" si="1">C4/164</f>
        <v>0.8902439024</v>
      </c>
      <c r="D15" s="30">
        <f t="shared" si="1"/>
        <v>0.06097560976</v>
      </c>
      <c r="E15" s="30">
        <f t="shared" si="1"/>
        <v>0.9390243902</v>
      </c>
      <c r="F15" s="30">
        <f t="shared" si="1"/>
        <v>0.1097560976</v>
      </c>
    </row>
    <row r="16">
      <c r="B16" s="29" t="s">
        <v>22</v>
      </c>
      <c r="C16" s="30">
        <f t="shared" ref="C16:F16" si="2">C5/164</f>
        <v>0.8902439024</v>
      </c>
      <c r="D16" s="30">
        <f t="shared" si="2"/>
        <v>0.0487804878</v>
      </c>
      <c r="E16" s="30">
        <f t="shared" si="2"/>
        <v>0.9512195122</v>
      </c>
      <c r="F16" s="30">
        <f t="shared" si="2"/>
        <v>0.1097560976</v>
      </c>
    </row>
    <row r="17">
      <c r="B17" s="29" t="s">
        <v>27</v>
      </c>
      <c r="C17" s="30">
        <f t="shared" ref="C17:F17" si="3">C6/164</f>
        <v>0.9146341463</v>
      </c>
      <c r="D17" s="30">
        <f t="shared" si="3"/>
        <v>0.06707317073</v>
      </c>
      <c r="E17" s="30">
        <f t="shared" si="3"/>
        <v>0.9329268293</v>
      </c>
      <c r="F17" s="30">
        <f t="shared" si="3"/>
        <v>0.08536585366</v>
      </c>
    </row>
    <row r="18">
      <c r="B18" s="29" t="s">
        <v>32</v>
      </c>
      <c r="C18" s="30">
        <f t="shared" ref="C18:F18" si="4">C7/164</f>
        <v>0.9390243902</v>
      </c>
      <c r="D18" s="30">
        <f t="shared" si="4"/>
        <v>0.07317073171</v>
      </c>
      <c r="E18" s="30">
        <f t="shared" si="4"/>
        <v>0.9268292683</v>
      </c>
      <c r="F18" s="30">
        <f t="shared" si="4"/>
        <v>0.06097560976</v>
      </c>
    </row>
    <row r="19">
      <c r="B19" s="31" t="s">
        <v>37</v>
      </c>
      <c r="C19" s="32">
        <f t="shared" ref="C19:F19" si="5">C8/164</f>
        <v>0.9390243902</v>
      </c>
      <c r="D19" s="32">
        <f t="shared" si="5"/>
        <v>0.06707317073</v>
      </c>
      <c r="E19" s="32">
        <f t="shared" si="5"/>
        <v>0.9329268293</v>
      </c>
      <c r="F19" s="32">
        <f t="shared" si="5"/>
        <v>0.06097560976</v>
      </c>
    </row>
    <row r="20">
      <c r="B20" s="31" t="s">
        <v>47</v>
      </c>
      <c r="C20" s="32">
        <f t="shared" ref="C20:F20" si="6">C9/164</f>
        <v>0.9390243902</v>
      </c>
      <c r="D20" s="32">
        <f t="shared" si="6"/>
        <v>0.06097560976</v>
      </c>
      <c r="E20" s="32">
        <f t="shared" si="6"/>
        <v>0.9390243902</v>
      </c>
      <c r="F20" s="32">
        <f t="shared" si="6"/>
        <v>0.06097560976</v>
      </c>
    </row>
    <row r="21">
      <c r="B21" s="31" t="s">
        <v>43</v>
      </c>
      <c r="C21" s="32">
        <f t="shared" ref="C21:F21" si="7">C10/164</f>
        <v>0.9390243902</v>
      </c>
      <c r="D21" s="32">
        <f t="shared" si="7"/>
        <v>0.06097560976</v>
      </c>
      <c r="E21" s="32">
        <f t="shared" si="7"/>
        <v>0.9390243902</v>
      </c>
      <c r="F21" s="32">
        <f t="shared" si="7"/>
        <v>0.06097560976</v>
      </c>
    </row>
    <row r="22">
      <c r="B22" s="33" t="s">
        <v>44</v>
      </c>
      <c r="C22" s="34">
        <f t="shared" ref="C22:F22" si="8">C11/164</f>
        <v>0.987804878</v>
      </c>
      <c r="D22" s="34">
        <f t="shared" si="8"/>
        <v>0.01219512195</v>
      </c>
      <c r="E22" s="34">
        <f t="shared" si="8"/>
        <v>0.987804878</v>
      </c>
      <c r="F22" s="34">
        <f t="shared" si="8"/>
        <v>0.01219512195</v>
      </c>
    </row>
  </sheetData>
  <drawing r:id="rId1"/>
</worksheet>
</file>